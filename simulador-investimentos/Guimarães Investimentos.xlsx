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rayaneMartinsGuim\Downloads\"/>
    </mc:Choice>
  </mc:AlternateContent>
  <xr:revisionPtr revIDLastSave="0" documentId="13_ncr:1_{E99778E2-AAAD-4CDE-A865-C51C5F867974}" xr6:coauthVersionLast="47" xr6:coauthVersionMax="47" xr10:uidLastSave="{00000000-0000-0000-0000-000000000000}"/>
  <bookViews>
    <workbookView xWindow="-110" yWindow="-110" windowWidth="19420" windowHeight="10300" tabRatio="345" xr2:uid="{D63472A4-8300-4934-9C87-0EC792DCF89D}"/>
  </bookViews>
  <sheets>
    <sheet name="APP" sheetId="1" r:id="rId1"/>
    <sheet name="Planilha2" sheetId="2" r:id="rId2"/>
  </sheets>
  <definedNames>
    <definedName name="aporte">APP!$D$15</definedName>
    <definedName name="patrimonio">APP!$D$18</definedName>
    <definedName name="qtd_anos">APP!$D$16</definedName>
    <definedName name="rendimento_carteira">APP!$D$11</definedName>
    <definedName name="salario">APP!$D$10</definedName>
    <definedName name="sugestao_investimento">APP!$D$12</definedName>
    <definedName name="taxa_mensal">APP!$D$17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 s="1"/>
  <c r="D12" i="1"/>
  <c r="C33" i="1"/>
  <c r="C34" i="1"/>
  <c r="C35" i="1"/>
  <c r="C36" i="1"/>
  <c r="C37" i="1"/>
  <c r="C38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0" i="1"/>
  <c r="C25" i="1"/>
  <c r="D25" i="1" s="1"/>
  <c r="C24" i="1"/>
  <c r="D24" i="1" s="1"/>
  <c r="C23" i="1"/>
  <c r="D23" i="1" s="1"/>
  <c r="C26" i="1"/>
  <c r="D26" i="1" s="1"/>
  <c r="C22" i="1"/>
  <c r="D22" i="1" s="1"/>
  <c r="D33" i="1" l="1"/>
  <c r="D38" i="1"/>
  <c r="D36" i="1"/>
  <c r="D35" i="1"/>
  <c r="D37" i="1"/>
  <c r="D34" i="1"/>
  <c r="D39" i="1" l="1"/>
</calcChain>
</file>

<file path=xl/sharedStrings.xml><?xml version="1.0" encoding="utf-8"?>
<sst xmlns="http://schemas.openxmlformats.org/spreadsheetml/2006/main" count="72" uniqueCount="36">
  <si>
    <t>Quanto investir por mês ?</t>
  </si>
  <si>
    <t>Patrimônio acumulado ?</t>
  </si>
  <si>
    <t>INVESTIMENTO MENSAL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</si>
  <si>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</si>
  <si>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</si>
  <si>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</si>
  <si>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</si>
  <si>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</si>
  <si>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</si>
  <si>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</si>
  <si>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</si>
  <si>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</si>
  <si>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</si>
  <si>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</si>
  <si>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</si>
  <si>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</si>
  <si>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</si>
  <si>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</si>
  <si>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</si>
  <si>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</si>
  <si>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</si>
  <si>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</si>
  <si>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</si>
  <si>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</si>
  <si>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</si>
  <si>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</si>
  <si>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Quanto em 2 anos ?</t>
  </si>
  <si>
    <t>Quanto em 5 anos ?</t>
  </si>
  <si>
    <t>Quanto em 10 anos ?</t>
  </si>
  <si>
    <t>Quanto em 20 anos ?</t>
  </si>
  <si>
    <t>Quanto em 30 anos ?</t>
  </si>
  <si>
    <t>Selecione o perfil:</t>
  </si>
  <si>
    <t>Por quantos anos ?</t>
  </si>
  <si>
    <t>Taxa de rendimento mensal ?</t>
  </si>
  <si>
    <t>Dividendos mensais ?</t>
  </si>
  <si>
    <t>Distribuição por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</si>
</sst>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Poppins Light"/>
    </font>
    <font>
      <sz val="11"/>
      <color theme="1"/>
      <name val="Poppins Light"/>
    </font>
    <font>
      <sz val="12"/>
      <color theme="1"/>
      <name val="Poppins Light"/>
    </font>
    <font>
      <b/>
      <sz val="11"/>
      <color theme="1"/>
      <name val="Poppins Light"/>
    </font>
    <font>
      <b/>
      <sz val="12"/>
      <color theme="1"/>
      <name val="Poppins Light"/>
    </font>
    <font>
      <b/>
      <sz val="12"/>
      <color theme="0"/>
      <name val="Poppins Light"/>
    </font>
    <font>
      <sz val="11"/>
      <color rgb="FF9C5700"/>
      <name val="Poppins Light"/>
    </font>
    <font>
      <b/>
      <sz val="14"/>
      <color theme="0"/>
      <name val="Poppins Light"/>
    </font>
    <font>
      <sz val="14"/>
      <color theme="1"/>
      <name val="Poppins Light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4378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2" borderId="0" xfId="3"/>
    <xf numFmtId="9" fontId="2" fillId="2" borderId="0" xfId="2" applyFont="1" applyFill="1"/>
    <xf numFmtId="0" fontId="3" fillId="6" borderId="22" xfId="0" applyFont="1" applyFill="1" applyBorder="1"/>
    <xf numFmtId="0" fontId="3" fillId="6" borderId="22" xfId="0" applyFont="1" applyFill="1" applyBorder="1" applyAlignment="1">
      <alignment horizontal="center"/>
    </xf>
    <xf numFmtId="0" fontId="4" fillId="8" borderId="22" xfId="0" applyFont="1" applyFill="1" applyBorder="1"/>
    <xf numFmtId="0" fontId="4" fillId="8" borderId="22" xfId="0" applyFont="1" applyFill="1" applyBorder="1" applyAlignment="1">
      <alignment horizontal="center"/>
    </xf>
    <xf numFmtId="9" fontId="4" fillId="8" borderId="22" xfId="0" applyNumberFormat="1" applyFont="1" applyFill="1" applyBorder="1" applyAlignment="1">
      <alignment horizontal="center"/>
    </xf>
    <xf numFmtId="0" fontId="4" fillId="9" borderId="22" xfId="0" applyFont="1" applyFill="1" applyBorder="1"/>
    <xf numFmtId="0" fontId="4" fillId="9" borderId="22" xfId="0" applyFont="1" applyFill="1" applyBorder="1" applyAlignment="1">
      <alignment horizontal="center"/>
    </xf>
    <xf numFmtId="9" fontId="4" fillId="9" borderId="22" xfId="0" applyNumberFormat="1" applyFont="1" applyFill="1" applyBorder="1" applyAlignment="1">
      <alignment horizontal="center"/>
    </xf>
    <xf numFmtId="0" fontId="4" fillId="10" borderId="22" xfId="0" applyFont="1" applyFill="1" applyBorder="1"/>
    <xf numFmtId="0" fontId="4" fillId="10" borderId="22" xfId="0" applyFont="1" applyFill="1" applyBorder="1" applyAlignment="1">
      <alignment horizontal="center"/>
    </xf>
    <xf numFmtId="9" fontId="4" fillId="10" borderId="22" xfId="0" applyNumberFormat="1" applyFont="1" applyFill="1" applyBorder="1" applyAlignment="1">
      <alignment horizontal="center"/>
    </xf>
    <xf numFmtId="0" fontId="4" fillId="0" borderId="0" xfId="0" applyFont="1"/>
    <xf numFmtId="164" fontId="4" fillId="0" borderId="15" xfId="1" applyNumberFormat="1" applyFont="1" applyBorder="1" applyAlignment="1">
      <alignment horizontal="center"/>
    </xf>
    <xf numFmtId="10" fontId="4" fillId="0" borderId="18" xfId="0" applyNumberFormat="1" applyFont="1" applyBorder="1" applyAlignment="1">
      <alignment horizontal="center"/>
    </xf>
    <xf numFmtId="164" fontId="4" fillId="4" borderId="21" xfId="0" applyNumberFormat="1" applyFont="1" applyFill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0" fontId="6" fillId="0" borderId="18" xfId="0" applyNumberFormat="1" applyFont="1" applyBorder="1" applyAlignment="1">
      <alignment horizontal="center"/>
    </xf>
    <xf numFmtId="8" fontId="6" fillId="3" borderId="18" xfId="0" applyNumberFormat="1" applyFont="1" applyFill="1" applyBorder="1" applyAlignment="1">
      <alignment horizontal="center"/>
    </xf>
    <xf numFmtId="8" fontId="6" fillId="3" borderId="21" xfId="0" applyNumberFormat="1" applyFont="1" applyFill="1" applyBorder="1" applyAlignment="1">
      <alignment horizontal="center"/>
    </xf>
    <xf numFmtId="9" fontId="4" fillId="0" borderId="0" xfId="0" applyNumberFormat="1" applyFont="1"/>
    <xf numFmtId="0" fontId="8" fillId="7" borderId="2" xfId="0" applyFont="1" applyFill="1" applyBorder="1" applyAlignment="1">
      <alignment horizontal="center" vertical="center"/>
    </xf>
    <xf numFmtId="0" fontId="3" fillId="0" borderId="0" xfId="0" applyFont="1"/>
    <xf numFmtId="0" fontId="5" fillId="3" borderId="4" xfId="0" applyFont="1" applyFill="1" applyBorder="1" applyAlignment="1">
      <alignment horizontal="left" indent="3"/>
    </xf>
    <xf numFmtId="164" fontId="4" fillId="3" borderId="5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left" indent="3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left" indent="3"/>
    </xf>
    <xf numFmtId="164" fontId="4" fillId="3" borderId="11" xfId="0" applyNumberFormat="1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0" fontId="9" fillId="2" borderId="0" xfId="3" applyFont="1"/>
    <xf numFmtId="0" fontId="9" fillId="2" borderId="0" xfId="3" applyFont="1" applyAlignment="1">
      <alignment horizontal="center"/>
    </xf>
    <xf numFmtId="0" fontId="6" fillId="4" borderId="0" xfId="0" applyFont="1" applyFill="1"/>
    <xf numFmtId="164" fontId="6" fillId="4" borderId="0" xfId="1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6" fillId="5" borderId="0" xfId="0" applyFont="1" applyFill="1"/>
    <xf numFmtId="164" fontId="6" fillId="5" borderId="0" xfId="0" applyNumberFormat="1" applyFont="1" applyFill="1" applyAlignment="1">
      <alignment horizontal="center"/>
    </xf>
    <xf numFmtId="0" fontId="10" fillId="7" borderId="1" xfId="0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indent="3"/>
    </xf>
    <xf numFmtId="164" fontId="4" fillId="3" borderId="0" xfId="0" applyNumberFormat="1" applyFont="1" applyFill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left" indent="3"/>
    </xf>
    <xf numFmtId="0" fontId="5" fillId="4" borderId="14" xfId="0" applyFont="1" applyFill="1" applyBorder="1" applyAlignment="1">
      <alignment horizontal="left" indent="3"/>
    </xf>
    <xf numFmtId="0" fontId="5" fillId="4" borderId="16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0" fontId="5" fillId="4" borderId="19" xfId="0" applyFont="1" applyFill="1" applyBorder="1" applyAlignment="1">
      <alignment horizontal="left" indent="3"/>
    </xf>
    <xf numFmtId="0" fontId="5" fillId="4" borderId="20" xfId="0" applyFont="1" applyFill="1" applyBorder="1" applyAlignment="1">
      <alignment horizontal="left" indent="3"/>
    </xf>
    <xf numFmtId="0" fontId="7" fillId="3" borderId="16" xfId="0" applyFont="1" applyFill="1" applyBorder="1" applyAlignment="1">
      <alignment horizontal="left" indent="3"/>
    </xf>
    <xf numFmtId="0" fontId="7" fillId="3" borderId="17" xfId="0" applyFont="1" applyFill="1" applyBorder="1" applyAlignment="1">
      <alignment horizontal="left" indent="3"/>
    </xf>
    <xf numFmtId="0" fontId="7" fillId="3" borderId="19" xfId="0" applyFont="1" applyFill="1" applyBorder="1" applyAlignment="1">
      <alignment horizontal="left" indent="3"/>
    </xf>
    <xf numFmtId="0" fontId="7" fillId="3" borderId="20" xfId="0" applyFont="1" applyFill="1" applyBorder="1" applyAlignment="1">
      <alignment horizontal="left" indent="3"/>
    </xf>
    <xf numFmtId="0" fontId="10" fillId="7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543783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9-4B10-811B-EF3ABC8064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9-4B10-811B-EF3ABC80646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9-4B10-811B-EF3ABC80646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9-4B10-811B-EF3ABC80646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9-4B10-811B-EF3ABC80646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59-4B10-811B-EF3ABC806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11833</xdr:colOff>
      <xdr:row>1</xdr:row>
      <xdr:rowOff>1</xdr:rowOff>
    </xdr:from>
    <xdr:to>
      <xdr:col>3</xdr:col>
      <xdr:colOff>1047750</xdr:colOff>
      <xdr:row>6</xdr:row>
      <xdr:rowOff>268432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8EA878-14C5-FB10-8B03-2B79E6D7B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3" t="12114" r="757" b="6175"/>
        <a:stretch>
          <a:fillRect/>
        </a:stretch>
      </xdr:blipFill>
      <xdr:spPr>
        <a:xfrm>
          <a:off x="392833" y="95251"/>
          <a:ext cx="5521326" cy="165388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317046</xdr:colOff>
      <xdr:row>39</xdr:row>
      <xdr:rowOff>97971</xdr:rowOff>
    </xdr:from>
    <xdr:to>
      <xdr:col>3</xdr:col>
      <xdr:colOff>892175</xdr:colOff>
      <xdr:row>52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39"/>
  <sheetViews>
    <sheetView showGridLines="0" tabSelected="1" topLeftCell="A27" zoomScale="110" zoomScaleNormal="110" workbookViewId="0">
      <selection activeCell="D19" sqref="D19"/>
    </sheetView>
  </sheetViews>
  <sheetFormatPr defaultColWidth="0" defaultRowHeight="21.5" x14ac:dyDescent="0.9"/>
  <cols>
    <col min="1" max="1" width="5.453125" style="15" customWidth="1"/>
    <col min="2" max="2" width="46.81640625" style="15" customWidth="1"/>
    <col min="3" max="3" width="17.453125" style="15" bestFit="1" customWidth="1"/>
    <col min="4" max="4" width="15.1796875" style="15" customWidth="1"/>
    <col min="5" max="8" width="3.54296875" style="15" customWidth="1"/>
    <col min="9" max="16384" width="8.7265625" style="15" hidden="1"/>
  </cols>
  <sheetData>
    <row r="1" spans="2:4" ht="7.5" customHeight="1" x14ac:dyDescent="0.9"/>
    <row r="8" spans="2:4" ht="7.5" customHeight="1" thickBot="1" x14ac:dyDescent="0.95"/>
    <row r="9" spans="2:4" ht="27.5" x14ac:dyDescent="1.1499999999999999">
      <c r="B9" s="46" t="s">
        <v>7</v>
      </c>
      <c r="C9" s="47"/>
      <c r="D9" s="48"/>
    </row>
    <row r="10" spans="2:4" ht="23" x14ac:dyDescent="0.95">
      <c r="B10" s="53" t="s">
        <v>6</v>
      </c>
      <c r="C10" s="54"/>
      <c r="D10" s="16">
        <v>2000</v>
      </c>
    </row>
    <row r="11" spans="2:4" ht="23" x14ac:dyDescent="0.95">
      <c r="B11" s="55" t="s">
        <v>5</v>
      </c>
      <c r="C11" s="56"/>
      <c r="D11" s="17">
        <v>6.0000000000000001E-3</v>
      </c>
    </row>
    <row r="12" spans="2:4" ht="23.5" thickBot="1" x14ac:dyDescent="1">
      <c r="B12" s="57" t="s">
        <v>25</v>
      </c>
      <c r="C12" s="58"/>
      <c r="D12" s="18">
        <f>D10*30%</f>
        <v>600</v>
      </c>
    </row>
    <row r="13" spans="2:4" ht="7.5" customHeight="1" thickBot="1" x14ac:dyDescent="0.95"/>
    <row r="14" spans="2:4" ht="28.5" customHeight="1" x14ac:dyDescent="0.9">
      <c r="B14" s="51" t="s">
        <v>2</v>
      </c>
      <c r="C14" s="52"/>
      <c r="D14" s="63"/>
    </row>
    <row r="15" spans="2:4" ht="23" x14ac:dyDescent="0.95">
      <c r="B15" s="53" t="s">
        <v>0</v>
      </c>
      <c r="C15" s="54"/>
      <c r="D15" s="19">
        <v>200</v>
      </c>
    </row>
    <row r="16" spans="2:4" ht="23" x14ac:dyDescent="0.95">
      <c r="B16" s="55" t="s">
        <v>32</v>
      </c>
      <c r="C16" s="56"/>
      <c r="D16" s="20">
        <v>5</v>
      </c>
    </row>
    <row r="17" spans="1:6" ht="23" x14ac:dyDescent="0.95">
      <c r="B17" s="55" t="s">
        <v>33</v>
      </c>
      <c r="C17" s="56"/>
      <c r="D17" s="21">
        <v>1.0789999999999999E-2</v>
      </c>
    </row>
    <row r="18" spans="1:6" ht="23" x14ac:dyDescent="0.95">
      <c r="B18" s="59" t="s">
        <v>1</v>
      </c>
      <c r="C18" s="60"/>
      <c r="D18" s="22">
        <f>FV(taxa_mensal,qtd_anos*12,aporte*-1)</f>
        <v>16755.382799697527</v>
      </c>
    </row>
    <row r="19" spans="1:6" ht="23.5" thickBot="1" x14ac:dyDescent="1">
      <c r="B19" s="61" t="s">
        <v>34</v>
      </c>
      <c r="C19" s="62"/>
      <c r="D19" s="23">
        <f>patrimonio*rendimento_carteira</f>
        <v>100.53229679818516</v>
      </c>
      <c r="F19" s="24"/>
    </row>
    <row r="20" spans="1:6" ht="7.5" customHeight="1" thickBot="1" x14ac:dyDescent="0.95"/>
    <row r="21" spans="1:6" ht="27.5" x14ac:dyDescent="0.9">
      <c r="B21" s="51" t="s">
        <v>3</v>
      </c>
      <c r="C21" s="52"/>
      <c r="D21" s="25" t="s">
        <v>4</v>
      </c>
    </row>
    <row r="22" spans="1:6" ht="23" x14ac:dyDescent="0.95">
      <c r="A22" s="26">
        <v>2</v>
      </c>
      <c r="B22" s="27" t="s">
        <v>26</v>
      </c>
      <c r="C22" s="28">
        <f>FV($D$17,$A22*12,$D$15*-1)</f>
        <v>5445.5254595290435</v>
      </c>
      <c r="D22" s="29">
        <f>C22*rendimento_carteira</f>
        <v>32.673152757174265</v>
      </c>
    </row>
    <row r="23" spans="1:6" ht="23" x14ac:dyDescent="0.95">
      <c r="A23" s="26">
        <v>5</v>
      </c>
      <c r="B23" s="30" t="s">
        <v>27</v>
      </c>
      <c r="C23" s="31">
        <f>FV($D$17,$A23*12,$D$15*-1)</f>
        <v>16755.382799697527</v>
      </c>
      <c r="D23" s="32">
        <f>C23*rendimento_carteira</f>
        <v>100.53229679818516</v>
      </c>
    </row>
    <row r="24" spans="1:6" ht="23" x14ac:dyDescent="0.95">
      <c r="A24" s="26">
        <v>10</v>
      </c>
      <c r="B24" s="30" t="s">
        <v>28</v>
      </c>
      <c r="C24" s="31">
        <f>FV($D$17,$A24*12,$D$15*-1)</f>
        <v>48656.842506034438</v>
      </c>
      <c r="D24" s="32">
        <f>C24*rendimento_carteira</f>
        <v>291.94105503620665</v>
      </c>
    </row>
    <row r="25" spans="1:6" ht="23" x14ac:dyDescent="0.95">
      <c r="A25" s="26">
        <v>20</v>
      </c>
      <c r="B25" s="30" t="s">
        <v>29</v>
      </c>
      <c r="C25" s="31">
        <f>FV($D$17,$A25*12,$D$15*-1)</f>
        <v>225039.68001941612</v>
      </c>
      <c r="D25" s="32">
        <f>C25*rendimento_carteira</f>
        <v>1350.2380801164968</v>
      </c>
    </row>
    <row r="26" spans="1:6" ht="23.5" thickBot="1" x14ac:dyDescent="1">
      <c r="A26" s="26">
        <v>30</v>
      </c>
      <c r="B26" s="33" t="s">
        <v>30</v>
      </c>
      <c r="C26" s="34">
        <f>FV($D$17,$A26*12,$D$15*-1)</f>
        <v>864433.93100094295</v>
      </c>
      <c r="D26" s="35">
        <f>C26*rendimento_carteira</f>
        <v>5186.6035860056581</v>
      </c>
    </row>
    <row r="27" spans="1:6" ht="23.5" thickBot="1" x14ac:dyDescent="1">
      <c r="A27" s="26"/>
      <c r="B27" s="49"/>
      <c r="C27" s="50"/>
      <c r="D27" s="50"/>
    </row>
    <row r="28" spans="1:6" ht="27.5" x14ac:dyDescent="0.9">
      <c r="B28" s="51" t="s">
        <v>35</v>
      </c>
      <c r="C28" s="52"/>
      <c r="D28" s="25"/>
    </row>
    <row r="29" spans="1:6" x14ac:dyDescent="0.9">
      <c r="B29" s="36" t="s">
        <v>31</v>
      </c>
      <c r="C29" s="37" t="s">
        <v>8</v>
      </c>
      <c r="D29" s="36"/>
    </row>
    <row r="30" spans="1:6" x14ac:dyDescent="0.9">
      <c r="B30" s="38" t="s">
        <v>11</v>
      </c>
      <c r="C30" s="39">
        <f>aporte</f>
        <v>200</v>
      </c>
      <c r="D30" s="38"/>
    </row>
    <row r="31" spans="1:6" ht="7.5" customHeight="1" x14ac:dyDescent="0.9"/>
    <row r="32" spans="1:6" x14ac:dyDescent="0.9">
      <c r="B32" s="40" t="s">
        <v>13</v>
      </c>
      <c r="C32" s="40" t="s">
        <v>14</v>
      </c>
      <c r="D32" s="40" t="s">
        <v>15</v>
      </c>
    </row>
    <row r="33" spans="2:4" x14ac:dyDescent="0.9">
      <c r="B33" s="41" t="s">
        <v>16</v>
      </c>
      <c r="C33" s="42">
        <f>VLOOKUP($C$29&amp;"-"&amp;B33,Planilha2!$A:$D,4,FALSE)</f>
        <v>0.3</v>
      </c>
      <c r="D33" s="43">
        <f>C33*$C$30</f>
        <v>60</v>
      </c>
    </row>
    <row r="34" spans="2:4" x14ac:dyDescent="0.9">
      <c r="B34" s="41" t="s">
        <v>17</v>
      </c>
      <c r="C34" s="42">
        <f>VLOOKUP($C$29&amp;"-"&amp;B34,Planilha2!$A:$D,4,FALSE)</f>
        <v>0.5</v>
      </c>
      <c r="D34" s="43">
        <f t="shared" ref="D34:D38" si="0">C34*$C$30</f>
        <v>100</v>
      </c>
    </row>
    <row r="35" spans="2:4" x14ac:dyDescent="0.9">
      <c r="B35" s="41" t="s">
        <v>18</v>
      </c>
      <c r="C35" s="42">
        <f>VLOOKUP($C$29&amp;"-"&amp;B35,Planilha2!$A:$D,4,FALSE)</f>
        <v>0.1</v>
      </c>
      <c r="D35" s="43">
        <f t="shared" si="0"/>
        <v>20</v>
      </c>
    </row>
    <row r="36" spans="2:4" x14ac:dyDescent="0.9">
      <c r="B36" s="41" t="s">
        <v>19</v>
      </c>
      <c r="C36" s="42">
        <f>VLOOKUP($C$29&amp;"-"&amp;B36,Planilha2!$A:$D,4,FALSE)</f>
        <v>0.1</v>
      </c>
      <c r="D36" s="43">
        <f t="shared" si="0"/>
        <v>20</v>
      </c>
    </row>
    <row r="37" spans="2:4" x14ac:dyDescent="0.9">
      <c r="B37" s="41" t="s">
        <v>20</v>
      </c>
      <c r="C37" s="42">
        <f>VLOOKUP($C$29&amp;"-"&amp;B37,Planilha2!$A:$D,4,FALSE)</f>
        <v>0</v>
      </c>
      <c r="D37" s="43">
        <f t="shared" si="0"/>
        <v>0</v>
      </c>
    </row>
    <row r="38" spans="2:4" x14ac:dyDescent="0.9">
      <c r="B38" s="41" t="s">
        <v>21</v>
      </c>
      <c r="C38" s="42">
        <f>VLOOKUP($C$29&amp;"-"&amp;B38,Planilha2!$A:$D,4,FALSE)</f>
        <v>0</v>
      </c>
      <c r="D38" s="43">
        <f t="shared" si="0"/>
        <v>0</v>
      </c>
    </row>
    <row r="39" spans="2:4" x14ac:dyDescent="0.9">
      <c r="B39" s="44"/>
      <c r="C39" s="44"/>
      <c r="D39" s="45">
        <f>SUM(D33:D38)</f>
        <v>200</v>
      </c>
    </row>
  </sheetData>
  <mergeCells count="11">
    <mergeCell ref="B28:C28"/>
    <mergeCell ref="B10:C10"/>
    <mergeCell ref="B11:C11"/>
    <mergeCell ref="B12:C12"/>
    <mergeCell ref="B18:C18"/>
    <mergeCell ref="B21:C21"/>
    <mergeCell ref="B15:C15"/>
    <mergeCell ref="B16:C16"/>
    <mergeCell ref="B17:C17"/>
    <mergeCell ref="B19:C19"/>
    <mergeCell ref="B14:D14"/>
  </mergeCells>
  <dataValidations count="1">
    <dataValidation type="list" allowBlank="1" showInputMessage="1" showErrorMessage="1" sqref="C29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D15" sqref="D15:D20"/>
    </sheetView>
  </sheetViews>
  <sheetFormatPr defaultRowHeight="14.5" x14ac:dyDescent="0.35"/>
  <cols>
    <col min="1" max="1" width="29.1796875" bestFit="1" customWidth="1"/>
    <col min="2" max="2" width="11.54296875" bestFit="1" customWidth="1"/>
    <col min="3" max="3" width="17.7265625" bestFit="1" customWidth="1"/>
    <col min="7" max="7" width="15.36328125" bestFit="1" customWidth="1"/>
  </cols>
  <sheetData>
    <row r="2" spans="1:8" ht="21.5" x14ac:dyDescent="0.9">
      <c r="A2" s="4" t="s">
        <v>23</v>
      </c>
      <c r="B2" s="4" t="s">
        <v>12</v>
      </c>
      <c r="C2" s="5" t="s">
        <v>13</v>
      </c>
      <c r="D2" s="5" t="s">
        <v>22</v>
      </c>
    </row>
    <row r="3" spans="1:8" ht="21.5" x14ac:dyDescent="0.9">
      <c r="A3" s="6" t="str">
        <f>B3&amp;"-"&amp;C3</f>
        <v>Conservador-PAPEL</v>
      </c>
      <c r="B3" s="6" t="s">
        <v>8</v>
      </c>
      <c r="C3" s="7" t="s">
        <v>16</v>
      </c>
      <c r="D3" s="8">
        <v>0.3</v>
      </c>
      <c r="H3" t="s">
        <v>22</v>
      </c>
    </row>
    <row r="4" spans="1:8" ht="21.5" x14ac:dyDescent="0.9">
      <c r="A4" s="6" t="str">
        <f t="shared" ref="A4:A20" si="0">B4&amp;"-"&amp;C4</f>
        <v>Conservador-TIJOLO</v>
      </c>
      <c r="B4" s="6" t="s">
        <v>8</v>
      </c>
      <c r="C4" s="7" t="s">
        <v>17</v>
      </c>
      <c r="D4" s="8">
        <v>0.5</v>
      </c>
      <c r="G4" s="2" t="s">
        <v>24</v>
      </c>
      <c r="H4" s="3">
        <f>VLOOKUP(G4,$A:$D,4,FALSE)</f>
        <v>0.35</v>
      </c>
    </row>
    <row r="5" spans="1:8" ht="21.5" x14ac:dyDescent="0.9">
      <c r="A5" s="6" t="str">
        <f t="shared" si="0"/>
        <v>Conservador-HÍBRIDOS</v>
      </c>
      <c r="B5" s="6" t="s">
        <v>8</v>
      </c>
      <c r="C5" s="7" t="s">
        <v>18</v>
      </c>
      <c r="D5" s="8">
        <v>0.1</v>
      </c>
    </row>
    <row r="6" spans="1:8" ht="21.5" x14ac:dyDescent="0.9">
      <c r="A6" s="6" t="str">
        <f t="shared" si="0"/>
        <v>Conservador-FOFs</v>
      </c>
      <c r="B6" s="6" t="s">
        <v>8</v>
      </c>
      <c r="C6" s="7" t="s">
        <v>19</v>
      </c>
      <c r="D6" s="8">
        <v>0.1</v>
      </c>
    </row>
    <row r="7" spans="1:8" ht="21.5" x14ac:dyDescent="0.9">
      <c r="A7" s="6" t="str">
        <f t="shared" si="0"/>
        <v>Conservador-DESENVOLVIMENTO</v>
      </c>
      <c r="B7" s="6" t="s">
        <v>8</v>
      </c>
      <c r="C7" s="7" t="s">
        <v>20</v>
      </c>
      <c r="D7" s="8">
        <v>0</v>
      </c>
    </row>
    <row r="8" spans="1:8" ht="21.5" x14ac:dyDescent="0.9">
      <c r="A8" s="6" t="str">
        <f t="shared" si="0"/>
        <v>Conservador-HOTELARIAS</v>
      </c>
      <c r="B8" s="6" t="s">
        <v>8</v>
      </c>
      <c r="C8" s="7" t="s">
        <v>21</v>
      </c>
      <c r="D8" s="8">
        <v>0</v>
      </c>
    </row>
    <row r="9" spans="1:8" ht="21.5" x14ac:dyDescent="0.9">
      <c r="A9" s="9" t="str">
        <f t="shared" si="0"/>
        <v>Moderado-PAPEL</v>
      </c>
      <c r="B9" s="9" t="s">
        <v>9</v>
      </c>
      <c r="C9" s="10" t="s">
        <v>16</v>
      </c>
      <c r="D9" s="11">
        <v>0.32</v>
      </c>
    </row>
    <row r="10" spans="1:8" ht="21.5" x14ac:dyDescent="0.9">
      <c r="A10" s="9" t="str">
        <f t="shared" si="0"/>
        <v>Moderado-TIJOLO</v>
      </c>
      <c r="B10" s="9" t="s">
        <v>9</v>
      </c>
      <c r="C10" s="10" t="s">
        <v>17</v>
      </c>
      <c r="D10" s="11">
        <v>0.35</v>
      </c>
    </row>
    <row r="11" spans="1:8" ht="21.5" x14ac:dyDescent="0.9">
      <c r="A11" s="9" t="str">
        <f t="shared" si="0"/>
        <v>Moderado-HÍBRIDOS</v>
      </c>
      <c r="B11" s="9" t="s">
        <v>9</v>
      </c>
      <c r="C11" s="10" t="s">
        <v>18</v>
      </c>
      <c r="D11" s="11">
        <v>0.08</v>
      </c>
    </row>
    <row r="12" spans="1:8" ht="21.5" x14ac:dyDescent="0.9">
      <c r="A12" s="9" t="str">
        <f t="shared" si="0"/>
        <v>Moderado-FOFs</v>
      </c>
      <c r="B12" s="9" t="s">
        <v>9</v>
      </c>
      <c r="C12" s="10" t="s">
        <v>19</v>
      </c>
      <c r="D12" s="11">
        <v>0.05</v>
      </c>
    </row>
    <row r="13" spans="1:8" ht="21.5" x14ac:dyDescent="0.9">
      <c r="A13" s="9" t="str">
        <f t="shared" si="0"/>
        <v>Moderado-DESENVOLVIMENTO</v>
      </c>
      <c r="B13" s="9" t="s">
        <v>9</v>
      </c>
      <c r="C13" s="10" t="s">
        <v>20</v>
      </c>
      <c r="D13" s="11">
        <v>0.1</v>
      </c>
    </row>
    <row r="14" spans="1:8" ht="21.5" x14ac:dyDescent="0.9">
      <c r="A14" s="9" t="str">
        <f t="shared" si="0"/>
        <v>Moderado-HOTELARIAS</v>
      </c>
      <c r="B14" s="9" t="s">
        <v>9</v>
      </c>
      <c r="C14" s="10" t="s">
        <v>21</v>
      </c>
      <c r="D14" s="11">
        <v>0.1</v>
      </c>
    </row>
    <row r="15" spans="1:8" ht="21.5" x14ac:dyDescent="0.9">
      <c r="A15" s="12" t="str">
        <f t="shared" si="0"/>
        <v>Agressivo-PAPEL</v>
      </c>
      <c r="B15" s="12" t="s">
        <v>10</v>
      </c>
      <c r="C15" s="13" t="s">
        <v>16</v>
      </c>
      <c r="D15" s="14">
        <v>0.5</v>
      </c>
    </row>
    <row r="16" spans="1:8" ht="21.5" x14ac:dyDescent="0.9">
      <c r="A16" s="12" t="str">
        <f t="shared" si="0"/>
        <v>Agressivo-TIJOLO</v>
      </c>
      <c r="B16" s="12" t="s">
        <v>10</v>
      </c>
      <c r="C16" s="13" t="s">
        <v>17</v>
      </c>
      <c r="D16" s="14">
        <v>0.1</v>
      </c>
    </row>
    <row r="17" spans="1:4" ht="21.5" x14ac:dyDescent="0.9">
      <c r="A17" s="12" t="str">
        <f t="shared" si="0"/>
        <v>Agressivo-HÍBRIDOS</v>
      </c>
      <c r="B17" s="12" t="s">
        <v>10</v>
      </c>
      <c r="C17" s="13" t="s">
        <v>18</v>
      </c>
      <c r="D17" s="14">
        <v>0.05</v>
      </c>
    </row>
    <row r="18" spans="1:4" ht="21.5" x14ac:dyDescent="0.9">
      <c r="A18" s="12" t="str">
        <f t="shared" si="0"/>
        <v>Agressivo-FOFs</v>
      </c>
      <c r="B18" s="12" t="s">
        <v>10</v>
      </c>
      <c r="C18" s="13" t="s">
        <v>19</v>
      </c>
      <c r="D18" s="14">
        <v>0.05</v>
      </c>
    </row>
    <row r="19" spans="1:4" ht="21.5" x14ac:dyDescent="0.9">
      <c r="A19" s="12" t="str">
        <f t="shared" si="0"/>
        <v>Agressivo-DESENVOLVIMENTO</v>
      </c>
      <c r="B19" s="12" t="s">
        <v>10</v>
      </c>
      <c r="C19" s="13" t="s">
        <v>20</v>
      </c>
      <c r="D19" s="14">
        <v>0.2</v>
      </c>
    </row>
    <row r="20" spans="1:4" ht="21.5" x14ac:dyDescent="0.9">
      <c r="A20" s="12" t="str">
        <f t="shared" si="0"/>
        <v>Agressivo-HOTELARIAS</v>
      </c>
      <c r="B20" s="12" t="s">
        <v>10</v>
      </c>
      <c r="C20" s="13" t="s">
        <v>21</v>
      </c>
      <c r="D20" s="14">
        <v>0.1</v>
      </c>
    </row>
    <row r="21" spans="1:4" x14ac:dyDescent="0.35">
      <c r="D21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Metadata/LabelInfo.xml><?xml version="1.0" encoding="utf-8"?>
<clbl:labelList xmlns:clbl="http://schemas.microsoft.com/office/2020/mipLabelMetadata">
  <clbl:label id="{92b1cb4c-a428-49fd-b8a7-a9ed6f454eeb}" enabled="1" method="Privileged" siteId="{343430e0-3e0c-4133-9777-5c5b9a5477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Narrayane Martins Guimarães</cp:lastModifiedBy>
  <dcterms:created xsi:type="dcterms:W3CDTF">2025-04-16T18:38:03Z</dcterms:created>
  <dcterms:modified xsi:type="dcterms:W3CDTF">2026-01-18T17:46:41Z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